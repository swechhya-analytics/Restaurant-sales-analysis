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CADB33A3-9C7E-44F5-81EA-EF997FB574A5}" xr6:coauthVersionLast="47" xr6:coauthVersionMax="47" xr10:uidLastSave="{00000000-0000-0000-0000-000000000000}"/>
  <bookViews>
    <workbookView xWindow="240" yWindow="105" windowWidth="14805" windowHeight="8010" firstSheet="2" activeTab="1" xr2:uid="{00000000-000D-0000-FFFF-FFFF00000000}"/>
  </bookViews>
  <sheets>
    <sheet name="raw_data" sheetId="1" r:id="rId1"/>
    <sheet name="monthly summary" sheetId="2" r:id="rId2"/>
    <sheet name="Dashboa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A4" i="3"/>
  <c r="J4" i="3"/>
  <c r="F27" i="2"/>
  <c r="I25" i="2"/>
  <c r="I26" i="2"/>
  <c r="G25" i="2"/>
  <c r="G26" i="2"/>
  <c r="E25" i="2"/>
  <c r="E26" i="2"/>
  <c r="C25" i="2"/>
  <c r="C26" i="2"/>
  <c r="D4" i="3"/>
  <c r="B27" i="2"/>
  <c r="B28" i="2"/>
  <c r="B29" i="2"/>
  <c r="B30" i="2"/>
  <c r="B31" i="2"/>
  <c r="B32" i="2"/>
  <c r="F28" i="2"/>
  <c r="F29" i="2"/>
  <c r="F30" i="2"/>
  <c r="F31" i="2"/>
  <c r="F3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5" i="2"/>
  <c r="E4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3" i="2"/>
</calcChain>
</file>

<file path=xl/sharedStrings.xml><?xml version="1.0" encoding="utf-8"?>
<sst xmlns="http://schemas.openxmlformats.org/spreadsheetml/2006/main" count="97" uniqueCount="58">
  <si>
    <t>Month</t>
  </si>
  <si>
    <t>Sales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</si>
  <si>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</si>
  <si>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</si>
  <si>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</si>
  <si>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</si>
  <si>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</si>
  <si>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</si>
  <si>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</si>
  <si>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</si>
  <si>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</si>
  <si>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</si>
  <si>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</si>
  <si>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</si>
  <si>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</si>
  <si>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</si>
  <si>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</si>
  <si>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</si>
  <si>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</si>
  <si>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</si>
  <si>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</si>
  <si>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</si>
  <si>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</si>
  <si>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</si>
  <si>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</si>
  <si>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MoM Growth%</t>
  </si>
  <si>
    <t>Trend Index</t>
  </si>
  <si>
    <t>3-Month Moving Avg</t>
  </si>
  <si>
    <t>Forecast (Next Month)</t>
  </si>
  <si>
    <t>Month Name</t>
  </si>
  <si>
    <t>Avg Sales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</si>
  <si>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</si>
  <si>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</si>
  <si>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</si>
  <si>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</si>
  <si>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</si>
  <si>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</si>
  <si>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</si>
  <si>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</si>
  <si>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</si>
  <si>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</si>
  <si>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</si>
  <si>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</si>
  <si>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</si>
  <si>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</si>
  <si>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</si>
  <si>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</si>
  <si>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</si>
  <si>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</si>
  <si>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</si>
  <si>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</si>
  <si>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 xml:space="preserve">Restautant Sales Analytics Dashboard </t>
  </si>
  <si>
    <t>Data-Driven Decision Support System for Small Restaurant Management</t>
  </si>
  <si>
    <t xml:space="preserve">Total Sales </t>
  </si>
  <si>
    <t>Average Monthly Sales</t>
  </si>
  <si>
    <t xml:space="preserve">Highest Sales Month </t>
  </si>
  <si>
    <t xml:space="preserve">Next Month Forecast </t>
  </si>
  <si>
    <t>Key Insights
* Sales remained generally stable over the analysis period.
* Sales increased noticeably during March–April in both 2025 and 2026.
* This recurring pattern suggests seasonality associated with sakura season, graduation events, and higher tourism activity.
* The moving average highlights a consistent underlying trend.
* Forecast results support proactive planning for staffing and inventory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</si>
</sst>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¥-411]#,##0"/>
  </numFmts>
  <fonts count="10">
    <font>
      <sz val="11"/>
      <color theme="1"/>
      <name val="Calibri"/>
      <family val="2"/>
      <scheme val="minor"/>
    </font>
    <font>
      <sz val="11"/>
      <color rgb="FF000000"/>
      <name val="Times New Roman"/>
    </font>
    <font>
      <sz val="16"/>
      <color rgb="FF000000"/>
      <name val="Times New Roman"/>
    </font>
    <font>
      <b/>
      <sz val="24"/>
      <color theme="4" tint="-0.499984740745262"/>
      <name val="Times New Roman"/>
    </font>
    <font>
      <i/>
      <sz val="14"/>
      <color theme="1" tint="0.499984740745262"/>
      <name val="Times New Roman"/>
    </font>
    <font>
      <i/>
      <sz val="16"/>
      <color rgb="FF808080"/>
      <name val="Times New Roman"/>
    </font>
    <font>
      <b/>
      <sz val="16"/>
      <color rgb="FF000000"/>
      <name val="Times New Roman"/>
    </font>
    <font>
      <b/>
      <sz val="16"/>
      <color rgb="FF000000"/>
      <name val="Calibri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4" fontId="0" fillId="2" borderId="1" xfId="0" applyNumberFormat="1" applyFont="1" applyFill="1" applyBorder="1"/>
    <xf numFmtId="0" fontId="0" fillId="2" borderId="2" xfId="0" applyFont="1" applyFill="1" applyBorder="1"/>
    <xf numFmtId="14" fontId="0" fillId="0" borderId="1" xfId="0" applyNumberFormat="1" applyFont="1" applyBorder="1"/>
    <xf numFmtId="0" fontId="0" fillId="0" borderId="2" xfId="0" applyFont="1" applyBorder="1"/>
    <xf numFmtId="0" fontId="1" fillId="0" borderId="0" xfId="0" applyFont="1"/>
    <xf numFmtId="0" fontId="1" fillId="0" borderId="0" xfId="0" applyFont="1" applyAlignment="1"/>
    <xf numFmtId="0" fontId="0" fillId="0" borderId="0" xfId="0" applyAlignment="1">
      <alignment wrapText="1"/>
    </xf>
    <xf numFmtId="1" fontId="0" fillId="0" borderId="0" xfId="0" applyNumberFormat="1"/>
    <xf numFmtId="0" fontId="2" fillId="0" borderId="0" xfId="0" applyFont="1" applyAlignment="1">
      <alignment wrapText="1"/>
    </xf>
    <xf numFmtId="164" fontId="9" fillId="0" borderId="0" xfId="0" applyNumberFormat="1" applyFont="1"/>
    <xf numFmtId="164" fontId="9" fillId="0" borderId="0" xfId="0" applyNumberFormat="1" applyFont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4" xfId="0" applyFont="1" applyBorder="1" applyAlignment="1">
      <alignment horizontal="center"/>
    </xf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summary'!$B$1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summary'!$A$2:$A$24</c:f>
              <c:strCache>
                <c:ptCount val="23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  <c:pt idx="13">
                  <c:v>2025-05</c:v>
                </c:pt>
                <c:pt idx="14">
                  <c:v>2025-06</c:v>
                </c:pt>
                <c:pt idx="15">
                  <c:v>2025-07</c:v>
                </c:pt>
                <c:pt idx="16">
                  <c:v>2025-08</c:v>
                </c:pt>
                <c:pt idx="17">
                  <c:v>2025-09</c:v>
                </c:pt>
                <c:pt idx="18">
                  <c:v>2025-10</c:v>
                </c:pt>
                <c:pt idx="19">
                  <c:v>2025-11</c:v>
                </c:pt>
                <c:pt idx="20">
                  <c:v>2025-12</c:v>
                </c:pt>
                <c:pt idx="21">
                  <c:v>2026-01</c:v>
                </c:pt>
                <c:pt idx="22">
                  <c:v>2026-02</c:v>
                </c:pt>
              </c:strCache>
            </c:strRef>
          </c:cat>
          <c:val>
            <c:numRef>
              <c:f>'monthly summary'!$B$2:$B$24</c:f>
              <c:numCache>
                <c:formatCode>General</c:formatCode>
                <c:ptCount val="23"/>
                <c:pt idx="0">
                  <c:v>1395635</c:v>
                </c:pt>
                <c:pt idx="1">
                  <c:v>1214590</c:v>
                </c:pt>
                <c:pt idx="2">
                  <c:v>1108078</c:v>
                </c:pt>
                <c:pt idx="3">
                  <c:v>1111879</c:v>
                </c:pt>
                <c:pt idx="4">
                  <c:v>1228474</c:v>
                </c:pt>
                <c:pt idx="5">
                  <c:v>1115350</c:v>
                </c:pt>
                <c:pt idx="6">
                  <c:v>1172409</c:v>
                </c:pt>
                <c:pt idx="7">
                  <c:v>1251480</c:v>
                </c:pt>
                <c:pt idx="8">
                  <c:v>1215749</c:v>
                </c:pt>
                <c:pt idx="9">
                  <c:v>1111588</c:v>
                </c:pt>
                <c:pt idx="10">
                  <c:v>1071897</c:v>
                </c:pt>
                <c:pt idx="11">
                  <c:v>1549250</c:v>
                </c:pt>
                <c:pt idx="12">
                  <c:v>1586695</c:v>
                </c:pt>
                <c:pt idx="13">
                  <c:v>1562393</c:v>
                </c:pt>
                <c:pt idx="14">
                  <c:v>1448445</c:v>
                </c:pt>
                <c:pt idx="15">
                  <c:v>1319468</c:v>
                </c:pt>
                <c:pt idx="16">
                  <c:v>1460803</c:v>
                </c:pt>
                <c:pt idx="17">
                  <c:v>1341501</c:v>
                </c:pt>
                <c:pt idx="18">
                  <c:v>1213631</c:v>
                </c:pt>
                <c:pt idx="19">
                  <c:v>1239979</c:v>
                </c:pt>
                <c:pt idx="20">
                  <c:v>1226194</c:v>
                </c:pt>
                <c:pt idx="21">
                  <c:v>1316028</c:v>
                </c:pt>
                <c:pt idx="22">
                  <c:v>1270208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2-4480-9B44-454E24C78680}"/>
            </c:ext>
          </c:extLst>
        </c:ser>
        <c:ser>
          <c:idx val="2"/>
          <c:order val="1"/>
          <c:tx>
            <c:strRef>
              <c:f>'monthly summary'!$E$1</c:f>
              <c:strCache>
                <c:ptCount val="1"/>
                <c:pt idx="0">
                  <c:v>3-Month Moving Avg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'monthly summary'!$A$2:$A$24</c:f>
              <c:strCache>
                <c:ptCount val="23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  <c:pt idx="13">
                  <c:v>2025-05</c:v>
                </c:pt>
                <c:pt idx="14">
                  <c:v>2025-06</c:v>
                </c:pt>
                <c:pt idx="15">
                  <c:v>2025-07</c:v>
                </c:pt>
                <c:pt idx="16">
                  <c:v>2025-08</c:v>
                </c:pt>
                <c:pt idx="17">
                  <c:v>2025-09</c:v>
                </c:pt>
                <c:pt idx="18">
                  <c:v>2025-10</c:v>
                </c:pt>
                <c:pt idx="19">
                  <c:v>2025-11</c:v>
                </c:pt>
                <c:pt idx="20">
                  <c:v>2025-12</c:v>
                </c:pt>
                <c:pt idx="21">
                  <c:v>2026-01</c:v>
                </c:pt>
                <c:pt idx="22">
                  <c:v>2026-02</c:v>
                </c:pt>
              </c:strCache>
            </c:strRef>
          </c:cat>
          <c:val>
            <c:numRef>
              <c:f>'monthly summary'!$E$2:$E$24</c:f>
              <c:numCache>
                <c:formatCode>General</c:formatCode>
                <c:ptCount val="23"/>
                <c:pt idx="2">
                  <c:v>1239434.3333333333</c:v>
                </c:pt>
                <c:pt idx="3">
                  <c:v>1144849</c:v>
                </c:pt>
                <c:pt idx="4">
                  <c:v>1149477</c:v>
                </c:pt>
                <c:pt idx="5">
                  <c:v>1151901</c:v>
                </c:pt>
                <c:pt idx="6">
                  <c:v>1172077.6666666667</c:v>
                </c:pt>
                <c:pt idx="7">
                  <c:v>1179746.3333333333</c:v>
                </c:pt>
                <c:pt idx="8">
                  <c:v>1213212.6666666667</c:v>
                </c:pt>
                <c:pt idx="9">
                  <c:v>1192939</c:v>
                </c:pt>
                <c:pt idx="10">
                  <c:v>1133078</c:v>
                </c:pt>
                <c:pt idx="11">
                  <c:v>1244245</c:v>
                </c:pt>
                <c:pt idx="12">
                  <c:v>1402614</c:v>
                </c:pt>
                <c:pt idx="13">
                  <c:v>1566112.6666666667</c:v>
                </c:pt>
                <c:pt idx="14">
                  <c:v>1532511</c:v>
                </c:pt>
                <c:pt idx="15">
                  <c:v>1443435.3333333333</c:v>
                </c:pt>
                <c:pt idx="16">
                  <c:v>1409572</c:v>
                </c:pt>
                <c:pt idx="17">
                  <c:v>1373924</c:v>
                </c:pt>
                <c:pt idx="18">
                  <c:v>1338645</c:v>
                </c:pt>
                <c:pt idx="19">
                  <c:v>1265037</c:v>
                </c:pt>
                <c:pt idx="20">
                  <c:v>1226601.3333333333</c:v>
                </c:pt>
                <c:pt idx="21">
                  <c:v>1260733.6666666667</c:v>
                </c:pt>
                <c:pt idx="22">
                  <c:v>1270810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12-4480-9B44-454E24C78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13383"/>
        <c:axId val="110753287"/>
      </c:lineChart>
      <c:catAx>
        <c:axId val="59813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53287"/>
        <c:crosses val="autoZero"/>
        <c:auto val="1"/>
        <c:lblAlgn val="ctr"/>
        <c:lblOffset val="100"/>
        <c:noMultiLvlLbl val="0"/>
      </c:catAx>
      <c:valAx>
        <c:axId val="110753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13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summary'!$B$1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summary'!A2:A26</c:f>
              <c:strCache>
                <c:ptCount val="25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  <c:pt idx="13">
                  <c:v>2025-05</c:v>
                </c:pt>
                <c:pt idx="14">
                  <c:v>2025-06</c:v>
                </c:pt>
                <c:pt idx="15">
                  <c:v>2025-07</c:v>
                </c:pt>
                <c:pt idx="16">
                  <c:v>2025-08</c:v>
                </c:pt>
                <c:pt idx="17">
                  <c:v>2025-09</c:v>
                </c:pt>
                <c:pt idx="18">
                  <c:v>2025-10</c:v>
                </c:pt>
                <c:pt idx="19">
                  <c:v>2025-11</c:v>
                </c:pt>
                <c:pt idx="20">
                  <c:v>2025-12</c:v>
                </c:pt>
                <c:pt idx="21">
                  <c:v>2026-01</c:v>
                </c:pt>
                <c:pt idx="22">
                  <c:v>2026-02</c:v>
                </c:pt>
                <c:pt idx="23">
                  <c:v>2026-03</c:v>
                </c:pt>
                <c:pt idx="24">
                  <c:v>2026-04</c:v>
                </c:pt>
              </c:strCache>
            </c:strRef>
          </c:cat>
          <c:val>
            <c:numRef>
              <c:f>'monthly summary'!B2:B26</c:f>
              <c:numCache>
                <c:formatCode>General</c:formatCode>
                <c:ptCount val="25"/>
                <c:pt idx="0">
                  <c:v>1395635</c:v>
                </c:pt>
                <c:pt idx="1">
                  <c:v>1214590</c:v>
                </c:pt>
                <c:pt idx="2">
                  <c:v>1108078</c:v>
                </c:pt>
                <c:pt idx="3">
                  <c:v>1111879</c:v>
                </c:pt>
                <c:pt idx="4">
                  <c:v>1228474</c:v>
                </c:pt>
                <c:pt idx="5">
                  <c:v>1115350</c:v>
                </c:pt>
                <c:pt idx="6">
                  <c:v>1172409</c:v>
                </c:pt>
                <c:pt idx="7">
                  <c:v>1251480</c:v>
                </c:pt>
                <c:pt idx="8">
                  <c:v>1215749</c:v>
                </c:pt>
                <c:pt idx="9">
                  <c:v>1111588</c:v>
                </c:pt>
                <c:pt idx="10">
                  <c:v>1071897</c:v>
                </c:pt>
                <c:pt idx="11">
                  <c:v>1549250</c:v>
                </c:pt>
                <c:pt idx="12">
                  <c:v>1586695</c:v>
                </c:pt>
                <c:pt idx="13">
                  <c:v>1562393</c:v>
                </c:pt>
                <c:pt idx="14">
                  <c:v>1448445</c:v>
                </c:pt>
                <c:pt idx="15">
                  <c:v>1319468</c:v>
                </c:pt>
                <c:pt idx="16">
                  <c:v>1460803</c:v>
                </c:pt>
                <c:pt idx="17">
                  <c:v>1341501</c:v>
                </c:pt>
                <c:pt idx="18">
                  <c:v>1213631</c:v>
                </c:pt>
                <c:pt idx="19">
                  <c:v>1239979</c:v>
                </c:pt>
                <c:pt idx="20">
                  <c:v>1226194</c:v>
                </c:pt>
                <c:pt idx="21">
                  <c:v>1316028</c:v>
                </c:pt>
                <c:pt idx="22">
                  <c:v>1270208</c:v>
                </c:pt>
                <c:pt idx="23">
                  <c:v>1373171</c:v>
                </c:pt>
                <c:pt idx="24">
                  <c:v>1381561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50-476B-8F7C-E092C66CCD14}"/>
            </c:ext>
          </c:extLst>
        </c:ser>
        <c:ser>
          <c:idx val="2"/>
          <c:order val="1"/>
          <c:tx>
            <c:strRef>
              <c:f>'monthly summary'!$E$1</c:f>
              <c:strCache>
                <c:ptCount val="1"/>
                <c:pt idx="0">
                  <c:v>3-Month Moving Avg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'monthly summary'!A2:A26</c:f>
              <c:strCache>
                <c:ptCount val="25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  <c:pt idx="13">
                  <c:v>2025-05</c:v>
                </c:pt>
                <c:pt idx="14">
                  <c:v>2025-06</c:v>
                </c:pt>
                <c:pt idx="15">
                  <c:v>2025-07</c:v>
                </c:pt>
                <c:pt idx="16">
                  <c:v>2025-08</c:v>
                </c:pt>
                <c:pt idx="17">
                  <c:v>2025-09</c:v>
                </c:pt>
                <c:pt idx="18">
                  <c:v>2025-10</c:v>
                </c:pt>
                <c:pt idx="19">
                  <c:v>2025-11</c:v>
                </c:pt>
                <c:pt idx="20">
                  <c:v>2025-12</c:v>
                </c:pt>
                <c:pt idx="21">
                  <c:v>2026-01</c:v>
                </c:pt>
                <c:pt idx="22">
                  <c:v>2026-02</c:v>
                </c:pt>
                <c:pt idx="23">
                  <c:v>2026-03</c:v>
                </c:pt>
                <c:pt idx="24">
                  <c:v>2026-04</c:v>
                </c:pt>
              </c:strCache>
            </c:strRef>
          </c:cat>
          <c:val>
            <c:numRef>
              <c:f>'monthly summary'!E2:E26</c:f>
              <c:numCache>
                <c:formatCode>General</c:formatCode>
                <c:ptCount val="25"/>
                <c:pt idx="2">
                  <c:v>1239434.3333333333</c:v>
                </c:pt>
                <c:pt idx="3">
                  <c:v>1144849</c:v>
                </c:pt>
                <c:pt idx="4">
                  <c:v>1149477</c:v>
                </c:pt>
                <c:pt idx="5">
                  <c:v>1151901</c:v>
                </c:pt>
                <c:pt idx="6">
                  <c:v>1172077.6666666667</c:v>
                </c:pt>
                <c:pt idx="7">
                  <c:v>1179746.3333333333</c:v>
                </c:pt>
                <c:pt idx="8">
                  <c:v>1213212.6666666667</c:v>
                </c:pt>
                <c:pt idx="9">
                  <c:v>1192939</c:v>
                </c:pt>
                <c:pt idx="10">
                  <c:v>1133078</c:v>
                </c:pt>
                <c:pt idx="11">
                  <c:v>1244245</c:v>
                </c:pt>
                <c:pt idx="12">
                  <c:v>1402614</c:v>
                </c:pt>
                <c:pt idx="13">
                  <c:v>1566112.6666666667</c:v>
                </c:pt>
                <c:pt idx="14">
                  <c:v>1532511</c:v>
                </c:pt>
                <c:pt idx="15">
                  <c:v>1443435.3333333333</c:v>
                </c:pt>
                <c:pt idx="16">
                  <c:v>1409572</c:v>
                </c:pt>
                <c:pt idx="17">
                  <c:v>1373924</c:v>
                </c:pt>
                <c:pt idx="18">
                  <c:v>1338645</c:v>
                </c:pt>
                <c:pt idx="19">
                  <c:v>1265037</c:v>
                </c:pt>
                <c:pt idx="20">
                  <c:v>1226601.3333333333</c:v>
                </c:pt>
                <c:pt idx="21">
                  <c:v>1260733.6666666667</c:v>
                </c:pt>
                <c:pt idx="22">
                  <c:v>1270810</c:v>
                </c:pt>
                <c:pt idx="23">
                  <c:v>1319802.3333333333</c:v>
                </c:pt>
                <c:pt idx="24">
                  <c:v>1341646.6666666667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50-476B-8F7C-E092C66CC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020615"/>
        <c:axId val="1966034951"/>
      </c:lineChart>
      <c:catAx>
        <c:axId val="1966020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034951"/>
        <c:crosses val="autoZero"/>
        <c:auto val="1"/>
        <c:lblAlgn val="ctr"/>
        <c:lblOffset val="100"/>
        <c:noMultiLvlLbl val="0"/>
      </c:catAx>
      <c:valAx>
        <c:axId val="1966034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020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summary'!$I$1</c:f>
              <c:strCache>
                <c:ptCount val="1"/>
                <c:pt idx="0">
                  <c:v>Avg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summary'!$H$2:$H$24</c:f>
              <c:strCache>
                <c:ptCount val="2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  <c:pt idx="12">
                  <c:v>apr</c:v>
                </c:pt>
                <c:pt idx="13">
                  <c:v>may</c:v>
                </c:pt>
                <c:pt idx="14">
                  <c:v>jun</c:v>
                </c:pt>
                <c:pt idx="15">
                  <c:v>jul</c:v>
                </c:pt>
                <c:pt idx="16">
                  <c:v>aug</c:v>
                </c:pt>
                <c:pt idx="17">
                  <c:v>sep</c:v>
                </c:pt>
                <c:pt idx="18">
                  <c:v>oct</c:v>
                </c:pt>
                <c:pt idx="19">
                  <c:v>nov</c:v>
                </c:pt>
                <c:pt idx="20">
                  <c:v>dec</c:v>
                </c:pt>
                <c:pt idx="21">
                  <c:v>jan</c:v>
                </c:pt>
                <c:pt idx="22">
                  <c:v>feb</c:v>
                </c:pt>
              </c:strCache>
            </c:strRef>
          </c:cat>
          <c:val>
            <c:numRef>
              <c:f>'monthly summary'!$I$2:$I$24</c:f>
              <c:numCache>
                <c:formatCode>General</c:formatCode>
                <c:ptCount val="23"/>
                <c:pt idx="0">
                  <c:v>1491165</c:v>
                </c:pt>
                <c:pt idx="1">
                  <c:v>1388491.5</c:v>
                </c:pt>
                <c:pt idx="2">
                  <c:v>1278261.5</c:v>
                </c:pt>
                <c:pt idx="3">
                  <c:v>1215673.5</c:v>
                </c:pt>
                <c:pt idx="4">
                  <c:v>1344638.5</c:v>
                </c:pt>
                <c:pt idx="5">
                  <c:v>1228425.5</c:v>
                </c:pt>
                <c:pt idx="6">
                  <c:v>1193020</c:v>
                </c:pt>
                <c:pt idx="7">
                  <c:v>1245729.5</c:v>
                </c:pt>
                <c:pt idx="8">
                  <c:v>1220971.5</c:v>
                </c:pt>
                <c:pt idx="9">
                  <c:v>1213808</c:v>
                </c:pt>
                <c:pt idx="10">
                  <c:v>1171052.5</c:v>
                </c:pt>
                <c:pt idx="11">
                  <c:v>1549250</c:v>
                </c:pt>
                <c:pt idx="12">
                  <c:v>1491165</c:v>
                </c:pt>
                <c:pt idx="13">
                  <c:v>1388491.5</c:v>
                </c:pt>
                <c:pt idx="14">
                  <c:v>1278261.5</c:v>
                </c:pt>
                <c:pt idx="15">
                  <c:v>1215673.5</c:v>
                </c:pt>
                <c:pt idx="16">
                  <c:v>1344638.5</c:v>
                </c:pt>
                <c:pt idx="17">
                  <c:v>1228425.5</c:v>
                </c:pt>
                <c:pt idx="18">
                  <c:v>1193020</c:v>
                </c:pt>
                <c:pt idx="19">
                  <c:v>1245729.5</c:v>
                </c:pt>
                <c:pt idx="20">
                  <c:v>1220971.5</c:v>
                </c:pt>
                <c:pt idx="21">
                  <c:v>1213808</c:v>
                </c:pt>
                <c:pt idx="22">
                  <c:v>1171052.5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7-4496-85F4-87F73EFAF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580936"/>
        <c:axId val="1995582984"/>
      </c:barChart>
      <c:catAx>
        <c:axId val="1995580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582984"/>
        <c:crosses val="autoZero"/>
        <c:auto val="1"/>
        <c:lblAlgn val="ctr"/>
        <c:lblOffset val="100"/>
        <c:noMultiLvlLbl val="0"/>
      </c:catAx>
      <c:valAx>
        <c:axId val="1995582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580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summary'!$B$1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summary'!A2:A26</c:f>
              <c:strCache>
                <c:ptCount val="25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  <c:pt idx="13">
                  <c:v>2025-05</c:v>
                </c:pt>
                <c:pt idx="14">
                  <c:v>2025-06</c:v>
                </c:pt>
                <c:pt idx="15">
                  <c:v>2025-07</c:v>
                </c:pt>
                <c:pt idx="16">
                  <c:v>2025-08</c:v>
                </c:pt>
                <c:pt idx="17">
                  <c:v>2025-09</c:v>
                </c:pt>
                <c:pt idx="18">
                  <c:v>2025-10</c:v>
                </c:pt>
                <c:pt idx="19">
                  <c:v>2025-11</c:v>
                </c:pt>
                <c:pt idx="20">
                  <c:v>2025-12</c:v>
                </c:pt>
                <c:pt idx="21">
                  <c:v>2026-01</c:v>
                </c:pt>
                <c:pt idx="22">
                  <c:v>2026-02</c:v>
                </c:pt>
                <c:pt idx="23">
                  <c:v>2026-03</c:v>
                </c:pt>
                <c:pt idx="24">
                  <c:v>2026-04</c:v>
                </c:pt>
              </c:strCache>
            </c:strRef>
          </c:cat>
          <c:val>
            <c:numRef>
              <c:f>'monthly summary'!B2:B26</c:f>
              <c:numCache>
                <c:formatCode>General</c:formatCode>
                <c:ptCount val="25"/>
                <c:pt idx="0">
                  <c:v>1395635</c:v>
                </c:pt>
                <c:pt idx="1">
                  <c:v>1214590</c:v>
                </c:pt>
                <c:pt idx="2">
                  <c:v>1108078</c:v>
                </c:pt>
                <c:pt idx="3">
                  <c:v>1111879</c:v>
                </c:pt>
                <c:pt idx="4">
                  <c:v>1228474</c:v>
                </c:pt>
                <c:pt idx="5">
                  <c:v>1115350</c:v>
                </c:pt>
                <c:pt idx="6">
                  <c:v>1172409</c:v>
                </c:pt>
                <c:pt idx="7">
                  <c:v>1251480</c:v>
                </c:pt>
                <c:pt idx="8">
                  <c:v>1215749</c:v>
                </c:pt>
                <c:pt idx="9">
                  <c:v>1111588</c:v>
                </c:pt>
                <c:pt idx="10">
                  <c:v>1071897</c:v>
                </c:pt>
                <c:pt idx="11">
                  <c:v>1549250</c:v>
                </c:pt>
                <c:pt idx="12">
                  <c:v>1586695</c:v>
                </c:pt>
                <c:pt idx="13">
                  <c:v>1562393</c:v>
                </c:pt>
                <c:pt idx="14">
                  <c:v>1448445</c:v>
                </c:pt>
                <c:pt idx="15">
                  <c:v>1319468</c:v>
                </c:pt>
                <c:pt idx="16">
                  <c:v>1460803</c:v>
                </c:pt>
                <c:pt idx="17">
                  <c:v>1341501</c:v>
                </c:pt>
                <c:pt idx="18">
                  <c:v>1213631</c:v>
                </c:pt>
                <c:pt idx="19">
                  <c:v>1239979</c:v>
                </c:pt>
                <c:pt idx="20">
                  <c:v>1226194</c:v>
                </c:pt>
                <c:pt idx="21">
                  <c:v>1316028</c:v>
                </c:pt>
                <c:pt idx="22">
                  <c:v>1270208</c:v>
                </c:pt>
                <c:pt idx="23">
                  <c:v>1373171</c:v>
                </c:pt>
                <c:pt idx="24">
                  <c:v>1381561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1-47C8-AD3C-B3D7FB994396}"/>
            </c:ext>
          </c:extLst>
        </c:ser>
        <c:ser>
          <c:idx val="2"/>
          <c:order val="1"/>
          <c:tx>
            <c:strRef>
              <c:f>'monthly summary'!$E$1</c:f>
              <c:strCache>
                <c:ptCount val="1"/>
                <c:pt idx="0">
                  <c:v>3-Month Moving Avg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'monthly summary'!A2:A26</c:f>
              <c:strCache>
                <c:ptCount val="25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  <c:pt idx="13">
                  <c:v>2025-05</c:v>
                </c:pt>
                <c:pt idx="14">
                  <c:v>2025-06</c:v>
                </c:pt>
                <c:pt idx="15">
                  <c:v>2025-07</c:v>
                </c:pt>
                <c:pt idx="16">
                  <c:v>2025-08</c:v>
                </c:pt>
                <c:pt idx="17">
                  <c:v>2025-09</c:v>
                </c:pt>
                <c:pt idx="18">
                  <c:v>2025-10</c:v>
                </c:pt>
                <c:pt idx="19">
                  <c:v>2025-11</c:v>
                </c:pt>
                <c:pt idx="20">
                  <c:v>2025-12</c:v>
                </c:pt>
                <c:pt idx="21">
                  <c:v>2026-01</c:v>
                </c:pt>
                <c:pt idx="22">
                  <c:v>2026-02</c:v>
                </c:pt>
                <c:pt idx="23">
                  <c:v>2026-03</c:v>
                </c:pt>
                <c:pt idx="24">
                  <c:v>2026-04</c:v>
                </c:pt>
              </c:strCache>
            </c:strRef>
          </c:cat>
          <c:val>
            <c:numRef>
              <c:f>'monthly summary'!E2:E26</c:f>
              <c:numCache>
                <c:formatCode>General</c:formatCode>
                <c:ptCount val="25"/>
                <c:pt idx="2">
                  <c:v>1239434.3333333333</c:v>
                </c:pt>
                <c:pt idx="3">
                  <c:v>1144849</c:v>
                </c:pt>
                <c:pt idx="4">
                  <c:v>1149477</c:v>
                </c:pt>
                <c:pt idx="5">
                  <c:v>1151901</c:v>
                </c:pt>
                <c:pt idx="6">
                  <c:v>1172077.6666666667</c:v>
                </c:pt>
                <c:pt idx="7">
                  <c:v>1179746.3333333333</c:v>
                </c:pt>
                <c:pt idx="8">
                  <c:v>1213212.6666666667</c:v>
                </c:pt>
                <c:pt idx="9">
                  <c:v>1192939</c:v>
                </c:pt>
                <c:pt idx="10">
                  <c:v>1133078</c:v>
                </c:pt>
                <c:pt idx="11">
                  <c:v>1244245</c:v>
                </c:pt>
                <c:pt idx="12">
                  <c:v>1402614</c:v>
                </c:pt>
                <c:pt idx="13">
                  <c:v>1566112.6666666667</c:v>
                </c:pt>
                <c:pt idx="14">
                  <c:v>1532511</c:v>
                </c:pt>
                <c:pt idx="15">
                  <c:v>1443435.3333333333</c:v>
                </c:pt>
                <c:pt idx="16">
                  <c:v>1409572</c:v>
                </c:pt>
                <c:pt idx="17">
                  <c:v>1373924</c:v>
                </c:pt>
                <c:pt idx="18">
                  <c:v>1338645</c:v>
                </c:pt>
                <c:pt idx="19">
                  <c:v>1265037</c:v>
                </c:pt>
                <c:pt idx="20">
                  <c:v>1226601.3333333333</c:v>
                </c:pt>
                <c:pt idx="21">
                  <c:v>1260733.6666666667</c:v>
                </c:pt>
                <c:pt idx="22">
                  <c:v>1270810</c:v>
                </c:pt>
                <c:pt idx="23">
                  <c:v>1319802.3333333333</c:v>
                </c:pt>
                <c:pt idx="24">
                  <c:v>1341646.6666666667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71-47C8-AD3C-B3D7FB994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020615"/>
        <c:axId val="1966034951"/>
      </c:lineChart>
      <c:catAx>
        <c:axId val="1966020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034951"/>
        <c:crosses val="autoZero"/>
        <c:auto val="1"/>
        <c:lblAlgn val="ctr"/>
        <c:lblOffset val="100"/>
        <c:noMultiLvlLbl val="0"/>
      </c:catAx>
      <c:valAx>
        <c:axId val="1966034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020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0</xdr:row>
      <xdr:rowOff>-95250</xdr:rowOff>
    </xdr:from>
    <xdr:to>
      <xdr:col>2</xdr:col>
      <xdr:colOff>104775</xdr:colOff>
      <xdr:row>0</xdr:row>
      <xdr:rowOff>-95250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7FD375-FA25-B017-5C0D-CB0294BA8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266700</xdr:colOff>
      <xdr:row>3</xdr:row>
      <xdr:rowOff>104775</xdr:rowOff>
    </xdr:from>
    <xdr:to>
      <xdr:col>26</xdr:col>
      <xdr:colOff>371475</xdr:colOff>
      <xdr:row>18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D13226-2E45-2828-4C0D-F9DC4032FC28}"/>
            </a:ext>
            <a:ext uri="{147F2762-F138-4A5C-976F-8EAC2B608ADB}">
              <a16:predDERef xmlns:a16="http://schemas.microsoft.com/office/drawing/2014/main" pred="{637FD375-FA25-B017-5C0D-CB0294BA8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457200</xdr:colOff>
      <xdr:row>6</xdr:row>
      <xdr:rowOff>19050</xdr:rowOff>
    </xdr:from>
    <xdr:to>
      <xdr:col>17</xdr:col>
      <xdr:colOff>428625</xdr:colOff>
      <xdr:row>20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E6E6DD-B5F4-67F4-B412-D03B04558E86}"/>
            </a:ext>
            <a:ext uri="{147F2762-F138-4A5C-976F-8EAC2B608ADB}">
              <a16:predDERef xmlns:a16="http://schemas.microsoft.com/office/drawing/2014/main" pred="{FFD13226-2E45-2828-4C0D-F9DC4032F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5</xdr:row>
      <xdr:rowOff>38100</xdr:rowOff>
    </xdr:from>
    <xdr:to>
      <xdr:col>9</xdr:col>
      <xdr:colOff>400050</xdr:colOff>
      <xdr:row>29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B6160A-30EB-42E6-97A2-5C4B38B8A7C6}"/>
            </a:ext>
            <a:ext uri="{147F2762-F138-4A5C-976F-8EAC2B608ADB}">
              <a16:predDERef xmlns:a16="http://schemas.microsoft.com/office/drawing/2014/main" pred="{637FD375-FA25-B017-5C0D-CB0294BA8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6AC4A9-5D71-4C2E-91F5-08662E412FD7}" name="Table1" displayName="Table1" ref="A1:B24" totalsRowShown="0">
  <autoFilter ref="A1:B24" xr:uid="{EF6AC4A9-5D71-4C2E-91F5-08662E412FD7}"/>
  <tableColumns count="2">
    <tableColumn id="1" xr3:uid="{1257783E-60CA-4C1F-8B15-6D83937C6C19}" name="Month" dataDxfId="0"/>
    <tableColumn id="2" xr3:uid="{46F57C8E-41C6-45F7-8B5E-DE6243B6A8FE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>
        <v>1395635</v>
      </c>
    </row>
    <row r="3" spans="1:2">
      <c r="A3" s="1" t="s">
        <v>3</v>
      </c>
      <c r="B3">
        <v>1214590</v>
      </c>
    </row>
    <row r="4" spans="1:2">
      <c r="A4" s="1" t="s">
        <v>4</v>
      </c>
      <c r="B4">
        <v>1108078</v>
      </c>
    </row>
    <row r="5" spans="1:2">
      <c r="A5" s="1" t="s">
        <v>5</v>
      </c>
      <c r="B5">
        <v>1111879</v>
      </c>
    </row>
    <row r="6" spans="1:2">
      <c r="A6" s="1" t="s">
        <v>6</v>
      </c>
      <c r="B6">
        <v>1228474</v>
      </c>
    </row>
    <row r="7" spans="1:2">
      <c r="A7" s="1" t="s">
        <v>7</v>
      </c>
      <c r="B7">
        <v>1115350</v>
      </c>
    </row>
    <row r="8" spans="1:2">
      <c r="A8" s="1" t="s">
        <v>8</v>
      </c>
      <c r="B8">
        <v>1172409</v>
      </c>
    </row>
    <row r="9" spans="1:2">
      <c r="A9" s="1" t="s">
        <v>9</v>
      </c>
      <c r="B9">
        <v>1251480</v>
      </c>
    </row>
    <row r="10" spans="1:2">
      <c r="A10" s="1" t="s">
        <v>10</v>
      </c>
      <c r="B10">
        <v>1215749</v>
      </c>
    </row>
    <row r="11" spans="1:2">
      <c r="A11" s="1" t="s">
        <v>11</v>
      </c>
      <c r="B11">
        <v>1111588</v>
      </c>
    </row>
    <row r="12" spans="1:2">
      <c r="A12" s="1" t="s">
        <v>12</v>
      </c>
      <c r="B12">
        <v>1071897</v>
      </c>
    </row>
    <row r="13" spans="1:2">
      <c r="A13" s="1" t="s">
        <v>13</v>
      </c>
      <c r="B13">
        <v>1549250</v>
      </c>
    </row>
    <row r="14" spans="1:2">
      <c r="A14" s="1" t="s">
        <v>14</v>
      </c>
      <c r="B14">
        <v>1586695</v>
      </c>
    </row>
    <row r="15" spans="1:2">
      <c r="A15" s="1" t="s">
        <v>15</v>
      </c>
      <c r="B15">
        <v>1562393</v>
      </c>
    </row>
    <row r="16" spans="1:2">
      <c r="A16" s="1" t="s">
        <v>16</v>
      </c>
      <c r="B16">
        <v>1448445</v>
      </c>
    </row>
    <row r="17" spans="1:2">
      <c r="A17" s="1" t="s">
        <v>17</v>
      </c>
      <c r="B17">
        <v>1319468</v>
      </c>
    </row>
    <row r="18" spans="1:2">
      <c r="A18" s="1" t="s">
        <v>18</v>
      </c>
      <c r="B18">
        <v>1460803</v>
      </c>
    </row>
    <row r="19" spans="1:2">
      <c r="A19" s="1" t="s">
        <v>19</v>
      </c>
      <c r="B19">
        <v>1341501</v>
      </c>
    </row>
    <row r="20" spans="1:2">
      <c r="A20" s="1" t="s">
        <v>20</v>
      </c>
      <c r="B20">
        <v>1213631</v>
      </c>
    </row>
    <row r="21" spans="1:2">
      <c r="A21" s="1" t="s">
        <v>21</v>
      </c>
      <c r="B21">
        <v>1239979</v>
      </c>
    </row>
    <row r="22" spans="1:2">
      <c r="A22" s="1" t="s">
        <v>22</v>
      </c>
      <c r="B22">
        <v>1226194</v>
      </c>
    </row>
    <row r="23" spans="1:2">
      <c r="A23" s="1" t="s">
        <v>23</v>
      </c>
      <c r="B23">
        <v>1316028</v>
      </c>
    </row>
    <row r="24" spans="1:2">
      <c r="A24" s="1" t="s">
        <v>24</v>
      </c>
      <c r="B24">
        <v>1270208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E54B-9011-4CA0-9A81-717F7EAFED89}">
  <dimension ref="A1:I32"/>
  <sheetViews>
    <sheetView tabSelected="1" workbookViewId="0">
      <selection activeCell="I34" sqref="I34"/>
    </sheetView>
  </sheetViews>
  <sheetFormatPr defaultColWidth="9.140625" defaultRowHeight="15"/>
  <cols>
    <col min="3" max="4" width="15.5703125" customWidth="1"/>
    <col min="5" max="5" width="20.85546875" bestFit="1" customWidth="1"/>
    <col min="6" max="6" width="20.42578125" bestFit="1" customWidth="1"/>
    <col min="7" max="7" width="12.42578125" bestFit="1" customWidth="1"/>
    <col min="8" max="8" width="10.7109375" customWidth="1"/>
    <col min="9" max="9" width="21.28515625" customWidth="1"/>
  </cols>
  <sheetData>
    <row r="1" spans="1:9">
      <c r="A1" s="6" t="s">
        <v>0</v>
      </c>
      <c r="B1" s="6" t="s">
        <v>1</v>
      </c>
      <c r="C1" s="6" t="s">
        <v>25</v>
      </c>
      <c r="D1" s="6" t="s">
        <v>26</v>
      </c>
      <c r="E1" s="7" t="s">
        <v>27</v>
      </c>
      <c r="F1" s="6" t="s">
        <v>28</v>
      </c>
      <c r="G1" t="s">
        <v>29</v>
      </c>
      <c r="H1" t="s">
        <v>0</v>
      </c>
      <c r="I1" t="s">
        <v>30</v>
      </c>
    </row>
    <row r="2" spans="1:9">
      <c r="A2" s="2" t="s">
        <v>2</v>
      </c>
      <c r="B2" s="3">
        <v>1395635</v>
      </c>
      <c r="D2">
        <v>1</v>
      </c>
      <c r="G2" t="str">
        <f>TEXT(A2,"mmm")</f>
        <v>2024-04</v>
      </c>
      <c r="H2" t="s">
        <v>31</v>
      </c>
      <c r="I2" s="8">
        <f>AVERAGEIF($H$2:$H$24,H2,$B$2:$B$24)</f>
        <v>1491165</v>
      </c>
    </row>
    <row r="3" spans="1:9">
      <c r="A3" s="4" t="s">
        <v>3</v>
      </c>
      <c r="B3" s="5">
        <v>1214590</v>
      </c>
      <c r="C3">
        <f>(B3-B2)/B2</f>
        <v>-0.12972231278235355</v>
      </c>
      <c r="D3">
        <v>2</v>
      </c>
      <c r="G3" t="str">
        <f t="shared" ref="G3:G29" si="0">TEXT(A3,"mmm")</f>
        <v>2024-05</v>
      </c>
      <c r="H3" t="s">
        <v>32</v>
      </c>
      <c r="I3" s="8">
        <f>AVERAGEIF($H$2:$H$24,H3,$B$2:$B$24)</f>
        <v>1388491.5</v>
      </c>
    </row>
    <row r="4" spans="1:9">
      <c r="A4" s="2" t="s">
        <v>4</v>
      </c>
      <c r="B4" s="3">
        <v>1108078</v>
      </c>
      <c r="C4">
        <f t="shared" ref="C4:C26" si="1">(B4-B3)/B3</f>
        <v>-8.7693789673881722E-2</v>
      </c>
      <c r="D4">
        <v>3</v>
      </c>
      <c r="E4">
        <f>AVERAGE(B2:B4)</f>
        <v>1239434.3333333333</v>
      </c>
      <c r="G4" t="str">
        <f t="shared" si="0"/>
        <v>2024-06</v>
      </c>
      <c r="H4" t="s">
        <v>33</v>
      </c>
      <c r="I4" s="8">
        <f>AVERAGEIF($H$2:$H$24,H4,$B$2:$B$24)</f>
        <v>1278261.5</v>
      </c>
    </row>
    <row r="5" spans="1:9">
      <c r="A5" s="4" t="s">
        <v>5</v>
      </c>
      <c r="B5" s="5">
        <v>1111879</v>
      </c>
      <c r="C5">
        <f t="shared" si="1"/>
        <v>3.4302639344883663E-3</v>
      </c>
      <c r="D5">
        <v>4</v>
      </c>
      <c r="E5">
        <f>AVERAGE(B3:B5)</f>
        <v>1144849</v>
      </c>
      <c r="G5" t="str">
        <f t="shared" si="0"/>
        <v>2024-07</v>
      </c>
      <c r="H5" t="s">
        <v>34</v>
      </c>
      <c r="I5" s="8">
        <f>AVERAGEIF($H$2:$H$24,H5,$B$2:$B$24)</f>
        <v>1215673.5</v>
      </c>
    </row>
    <row r="6" spans="1:9">
      <c r="A6" s="2" t="s">
        <v>6</v>
      </c>
      <c r="B6" s="3">
        <v>1228474</v>
      </c>
      <c r="C6">
        <f t="shared" si="1"/>
        <v>0.10486302916054714</v>
      </c>
      <c r="D6">
        <v>5</v>
      </c>
      <c r="E6">
        <f t="shared" ref="E6:E26" si="2">AVERAGE(B4:B6)</f>
        <v>1149477</v>
      </c>
      <c r="G6" t="str">
        <f t="shared" si="0"/>
        <v>2024-08</v>
      </c>
      <c r="H6" t="s">
        <v>35</v>
      </c>
      <c r="I6" s="8">
        <f>AVERAGEIF($H$2:$H$24,H6,$B$2:$B$24)</f>
        <v>1344638.5</v>
      </c>
    </row>
    <row r="7" spans="1:9">
      <c r="A7" s="4" t="s">
        <v>7</v>
      </c>
      <c r="B7" s="5">
        <v>1115350</v>
      </c>
      <c r="C7">
        <f t="shared" si="1"/>
        <v>-9.2084976971429588E-2</v>
      </c>
      <c r="D7">
        <v>6</v>
      </c>
      <c r="E7">
        <f t="shared" si="2"/>
        <v>1151901</v>
      </c>
      <c r="G7" t="str">
        <f t="shared" si="0"/>
        <v>2024-09</v>
      </c>
      <c r="H7" t="s">
        <v>36</v>
      </c>
      <c r="I7" s="8">
        <f>AVERAGEIF($H$2:$H$24,H7,$B$2:$B$24)</f>
        <v>1228425.5</v>
      </c>
    </row>
    <row r="8" spans="1:9">
      <c r="A8" s="2" t="s">
        <v>8</v>
      </c>
      <c r="B8" s="3">
        <v>1172409</v>
      </c>
      <c r="C8">
        <f t="shared" si="1"/>
        <v>5.1157932487559961E-2</v>
      </c>
      <c r="D8">
        <v>7</v>
      </c>
      <c r="E8">
        <f t="shared" si="2"/>
        <v>1172077.6666666667</v>
      </c>
      <c r="G8" t="str">
        <f t="shared" si="0"/>
        <v>2024-10</v>
      </c>
      <c r="H8" t="s">
        <v>37</v>
      </c>
      <c r="I8" s="8">
        <f>AVERAGEIF($H$2:$H$24,H8,$B$2:$B$24)</f>
        <v>1193020</v>
      </c>
    </row>
    <row r="9" spans="1:9">
      <c r="A9" s="4" t="s">
        <v>9</v>
      </c>
      <c r="B9" s="5">
        <v>1251480</v>
      </c>
      <c r="C9">
        <f t="shared" si="1"/>
        <v>6.7443187488325326E-2</v>
      </c>
      <c r="D9">
        <v>8</v>
      </c>
      <c r="E9">
        <f t="shared" si="2"/>
        <v>1179746.3333333333</v>
      </c>
      <c r="G9" t="str">
        <f t="shared" si="0"/>
        <v>2024-11</v>
      </c>
      <c r="H9" t="s">
        <v>38</v>
      </c>
      <c r="I9" s="8">
        <f>AVERAGEIF($H$2:$H$24,H9,$B$2:$B$24)</f>
        <v>1245729.5</v>
      </c>
    </row>
    <row r="10" spans="1:9">
      <c r="A10" s="2" t="s">
        <v>10</v>
      </c>
      <c r="B10" s="3">
        <v>1215749</v>
      </c>
      <c r="C10">
        <f t="shared" si="1"/>
        <v>-2.8550995621184516E-2</v>
      </c>
      <c r="D10">
        <v>9</v>
      </c>
      <c r="E10">
        <f t="shared" si="2"/>
        <v>1213212.6666666667</v>
      </c>
      <c r="G10" t="str">
        <f t="shared" si="0"/>
        <v>2024-12</v>
      </c>
      <c r="H10" t="s">
        <v>39</v>
      </c>
      <c r="I10" s="8">
        <f>AVERAGEIF($H$2:$H$24,H10,$B$2:$B$24)</f>
        <v>1220971.5</v>
      </c>
    </row>
    <row r="11" spans="1:9">
      <c r="A11" s="4" t="s">
        <v>11</v>
      </c>
      <c r="B11" s="5">
        <v>1111588</v>
      </c>
      <c r="C11">
        <f t="shared" si="1"/>
        <v>-8.5676401954679793E-2</v>
      </c>
      <c r="D11">
        <v>10</v>
      </c>
      <c r="E11">
        <f t="shared" si="2"/>
        <v>1192939</v>
      </c>
      <c r="G11" t="str">
        <f t="shared" si="0"/>
        <v>2025-01</v>
      </c>
      <c r="H11" t="s">
        <v>40</v>
      </c>
      <c r="I11" s="8">
        <f>AVERAGEIF($H$2:$H$24,H11,$B$2:$B$24)</f>
        <v>1213808</v>
      </c>
    </row>
    <row r="12" spans="1:9">
      <c r="A12" s="2" t="s">
        <v>12</v>
      </c>
      <c r="B12" s="3">
        <v>1071897</v>
      </c>
      <c r="C12">
        <f t="shared" si="1"/>
        <v>-3.5706574738122394E-2</v>
      </c>
      <c r="D12">
        <v>11</v>
      </c>
      <c r="E12">
        <f t="shared" si="2"/>
        <v>1133078</v>
      </c>
      <c r="G12" t="str">
        <f t="shared" si="0"/>
        <v>2025-02</v>
      </c>
      <c r="H12" t="s">
        <v>41</v>
      </c>
      <c r="I12" s="8">
        <f>AVERAGEIF($H$2:$H$24,H12,$B$2:$B$24)</f>
        <v>1171052.5</v>
      </c>
    </row>
    <row r="13" spans="1:9">
      <c r="A13" s="4" t="s">
        <v>13</v>
      </c>
      <c r="B13" s="5">
        <v>1549250</v>
      </c>
      <c r="C13">
        <f t="shared" si="1"/>
        <v>0.44533476630683733</v>
      </c>
      <c r="D13">
        <v>12</v>
      </c>
      <c r="E13">
        <f t="shared" si="2"/>
        <v>1244245</v>
      </c>
      <c r="G13" t="str">
        <f t="shared" si="0"/>
        <v>2025-03</v>
      </c>
      <c r="H13" t="s">
        <v>42</v>
      </c>
      <c r="I13" s="8">
        <f>AVERAGEIF($H$2:$H$24,H13,$B$2:$B$24)</f>
        <v>1549250</v>
      </c>
    </row>
    <row r="14" spans="1:9">
      <c r="A14" s="2" t="s">
        <v>14</v>
      </c>
      <c r="B14" s="3">
        <v>1586695</v>
      </c>
      <c r="C14">
        <f t="shared" si="1"/>
        <v>2.416975956107794E-2</v>
      </c>
      <c r="D14">
        <v>13</v>
      </c>
      <c r="E14">
        <f t="shared" si="2"/>
        <v>1402614</v>
      </c>
      <c r="G14" t="str">
        <f t="shared" si="0"/>
        <v>2025-04</v>
      </c>
      <c r="H14" t="s">
        <v>31</v>
      </c>
      <c r="I14" s="8">
        <f>AVERAGEIF($H$2:$H$24,H14,$B$2:$B$24)</f>
        <v>1491165</v>
      </c>
    </row>
    <row r="15" spans="1:9">
      <c r="A15" s="4" t="s">
        <v>15</v>
      </c>
      <c r="B15" s="5">
        <v>1562393</v>
      </c>
      <c r="C15">
        <f t="shared" si="1"/>
        <v>-1.5316113052603053E-2</v>
      </c>
      <c r="D15">
        <v>14</v>
      </c>
      <c r="E15">
        <f t="shared" si="2"/>
        <v>1566112.6666666667</v>
      </c>
      <c r="G15" t="str">
        <f t="shared" si="0"/>
        <v>2025-05</v>
      </c>
      <c r="H15" t="s">
        <v>32</v>
      </c>
      <c r="I15" s="8">
        <f>AVERAGEIF($H$2:$H$24,H15,$B$2:$B$24)</f>
        <v>1388491.5</v>
      </c>
    </row>
    <row r="16" spans="1:9">
      <c r="A16" s="2" t="s">
        <v>16</v>
      </c>
      <c r="B16" s="3">
        <v>1448445</v>
      </c>
      <c r="C16">
        <f t="shared" si="1"/>
        <v>-7.2931714363799638E-2</v>
      </c>
      <c r="D16">
        <v>15</v>
      </c>
      <c r="E16">
        <f t="shared" si="2"/>
        <v>1532511</v>
      </c>
      <c r="G16" t="str">
        <f t="shared" si="0"/>
        <v>2025-06</v>
      </c>
      <c r="H16" t="s">
        <v>33</v>
      </c>
      <c r="I16" s="8">
        <f>AVERAGEIF($H$2:$H$24,H16,$B$2:$B$24)</f>
        <v>1278261.5</v>
      </c>
    </row>
    <row r="17" spans="1:9">
      <c r="A17" s="4" t="s">
        <v>17</v>
      </c>
      <c r="B17" s="5">
        <v>1319468</v>
      </c>
      <c r="C17">
        <f t="shared" si="1"/>
        <v>-8.9045148417785977E-2</v>
      </c>
      <c r="D17">
        <v>16</v>
      </c>
      <c r="E17">
        <f t="shared" si="2"/>
        <v>1443435.3333333333</v>
      </c>
      <c r="G17" t="str">
        <f t="shared" si="0"/>
        <v>2025-07</v>
      </c>
      <c r="H17" t="s">
        <v>34</v>
      </c>
      <c r="I17" s="8">
        <f>AVERAGEIF($H$2:$H$24,H17,$B$2:$B$24)</f>
        <v>1215673.5</v>
      </c>
    </row>
    <row r="18" spans="1:9">
      <c r="A18" s="2" t="s">
        <v>18</v>
      </c>
      <c r="B18" s="3">
        <v>1460803</v>
      </c>
      <c r="C18">
        <f t="shared" si="1"/>
        <v>0.10711514034444185</v>
      </c>
      <c r="D18">
        <v>17</v>
      </c>
      <c r="E18">
        <f t="shared" si="2"/>
        <v>1409572</v>
      </c>
      <c r="G18" t="str">
        <f t="shared" si="0"/>
        <v>2025-08</v>
      </c>
      <c r="H18" t="s">
        <v>35</v>
      </c>
      <c r="I18" s="8">
        <f>AVERAGEIF($H$2:$H$24,H18,$B$2:$B$24)</f>
        <v>1344638.5</v>
      </c>
    </row>
    <row r="19" spans="1:9">
      <c r="A19" s="4" t="s">
        <v>19</v>
      </c>
      <c r="B19" s="5">
        <v>1341501</v>
      </c>
      <c r="C19">
        <f t="shared" si="1"/>
        <v>-8.1668780800696603E-2</v>
      </c>
      <c r="D19">
        <v>18</v>
      </c>
      <c r="E19">
        <f t="shared" si="2"/>
        <v>1373924</v>
      </c>
      <c r="G19" t="str">
        <f t="shared" si="0"/>
        <v>2025-09</v>
      </c>
      <c r="H19" t="s">
        <v>36</v>
      </c>
      <c r="I19" s="8">
        <f>AVERAGEIF($H$2:$H$24,H19,$B$2:$B$24)</f>
        <v>1228425.5</v>
      </c>
    </row>
    <row r="20" spans="1:9">
      <c r="A20" s="2" t="s">
        <v>20</v>
      </c>
      <c r="B20" s="3">
        <v>1213631</v>
      </c>
      <c r="C20">
        <f t="shared" si="1"/>
        <v>-9.5318602073349176E-2</v>
      </c>
      <c r="D20">
        <v>19</v>
      </c>
      <c r="E20">
        <f t="shared" si="2"/>
        <v>1338645</v>
      </c>
      <c r="G20" t="str">
        <f t="shared" si="0"/>
        <v>2025-10</v>
      </c>
      <c r="H20" t="s">
        <v>37</v>
      </c>
      <c r="I20" s="8">
        <f>AVERAGEIF($H$2:$H$24,H20,$B$2:$B$24)</f>
        <v>1193020</v>
      </c>
    </row>
    <row r="21" spans="1:9">
      <c r="A21" s="4" t="s">
        <v>21</v>
      </c>
      <c r="B21" s="5">
        <v>1239979</v>
      </c>
      <c r="C21">
        <f t="shared" si="1"/>
        <v>2.171005849389147E-2</v>
      </c>
      <c r="D21">
        <v>20</v>
      </c>
      <c r="E21">
        <f t="shared" si="2"/>
        <v>1265037</v>
      </c>
      <c r="G21" t="str">
        <f t="shared" si="0"/>
        <v>2025-11</v>
      </c>
      <c r="H21" t="s">
        <v>38</v>
      </c>
      <c r="I21" s="8">
        <f>AVERAGEIF($H$2:$H$24,H21,$B$2:$B$24)</f>
        <v>1245729.5</v>
      </c>
    </row>
    <row r="22" spans="1:9">
      <c r="A22" s="2" t="s">
        <v>22</v>
      </c>
      <c r="B22" s="3">
        <v>1226194</v>
      </c>
      <c r="C22">
        <f t="shared" si="1"/>
        <v>-1.1117123757741059E-2</v>
      </c>
      <c r="D22">
        <v>21</v>
      </c>
      <c r="E22">
        <f t="shared" si="2"/>
        <v>1226601.3333333333</v>
      </c>
      <c r="G22" t="str">
        <f t="shared" si="0"/>
        <v>2025-12</v>
      </c>
      <c r="H22" t="s">
        <v>39</v>
      </c>
      <c r="I22" s="8">
        <f>AVERAGEIF($H$2:$H$24,H22,$B$2:$B$24)</f>
        <v>1220971.5</v>
      </c>
    </row>
    <row r="23" spans="1:9">
      <c r="A23" s="4" t="s">
        <v>23</v>
      </c>
      <c r="B23" s="5">
        <v>1316028</v>
      </c>
      <c r="C23">
        <f t="shared" si="1"/>
        <v>7.3262469070962663E-2</v>
      </c>
      <c r="D23">
        <v>22</v>
      </c>
      <c r="E23">
        <f t="shared" si="2"/>
        <v>1260733.6666666667</v>
      </c>
      <c r="G23" t="str">
        <f t="shared" si="0"/>
        <v>2026-01</v>
      </c>
      <c r="H23" t="s">
        <v>40</v>
      </c>
      <c r="I23" s="8">
        <f>AVERAGEIF($H$2:$H$24,H23,$B$2:$B$24)</f>
        <v>1213808</v>
      </c>
    </row>
    <row r="24" spans="1:9">
      <c r="A24" s="2" t="s">
        <v>24</v>
      </c>
      <c r="B24" s="3">
        <v>1270208</v>
      </c>
      <c r="C24">
        <f t="shared" si="1"/>
        <v>-3.4816888394471848E-2</v>
      </c>
      <c r="D24">
        <v>23</v>
      </c>
      <c r="E24">
        <f t="shared" si="2"/>
        <v>1270810</v>
      </c>
      <c r="G24" t="str">
        <f t="shared" si="0"/>
        <v>2026-02</v>
      </c>
      <c r="H24" t="s">
        <v>41</v>
      </c>
      <c r="I24" s="8">
        <f>AVERAGEIF($H$2:$H$24,H24,$B$2:$B$24)</f>
        <v>1171052.5</v>
      </c>
    </row>
    <row r="25" spans="1:9">
      <c r="A25" s="2" t="s">
        <v>43</v>
      </c>
      <c r="B25">
        <v>1373171</v>
      </c>
      <c r="C25">
        <f t="shared" si="1"/>
        <v>8.1059952385750991E-2</v>
      </c>
      <c r="D25">
        <v>24</v>
      </c>
      <c r="E25">
        <f t="shared" si="2"/>
        <v>1319802.3333333333</v>
      </c>
      <c r="G25" t="str">
        <f t="shared" si="0"/>
        <v>2026-03</v>
      </c>
      <c r="H25" t="s">
        <v>42</v>
      </c>
      <c r="I25" s="8">
        <f t="shared" ref="I25:I26" si="3">AVERAGEIF($H$2:$H$24,H25,$B$2:$B$24)</f>
        <v>1549250</v>
      </c>
    </row>
    <row r="26" spans="1:9">
      <c r="A26" s="2" t="s">
        <v>44</v>
      </c>
      <c r="B26">
        <v>1381561</v>
      </c>
      <c r="C26">
        <f t="shared" si="1"/>
        <v>6.1099455202593125E-3</v>
      </c>
      <c r="D26">
        <v>25</v>
      </c>
      <c r="E26">
        <f t="shared" si="2"/>
        <v>1341646.6666666667</v>
      </c>
      <c r="G26" t="str">
        <f t="shared" si="0"/>
        <v>2026-04</v>
      </c>
      <c r="H26" t="s">
        <v>31</v>
      </c>
      <c r="I26" s="8">
        <f t="shared" si="3"/>
        <v>1491165</v>
      </c>
    </row>
    <row r="27" spans="1:9">
      <c r="A27" s="2" t="s">
        <v>45</v>
      </c>
      <c r="B27">
        <f t="shared" ref="B26:B32" si="4">AVERAGE(B24:B26)</f>
        <v>1341646.6666666667</v>
      </c>
      <c r="F27" s="9">
        <f>_xlfn.FORECAST.LINEAR(D27, B2:B26, D2:D26)</f>
        <v>1201899.8500000001</v>
      </c>
    </row>
    <row r="28" spans="1:9">
      <c r="A28" s="2" t="s">
        <v>46</v>
      </c>
      <c r="B28">
        <f t="shared" si="4"/>
        <v>1365459.5555555557</v>
      </c>
      <c r="F28" s="9">
        <f t="shared" ref="F26:F32" si="5">AVERAGE(B25:B27)</f>
        <v>1365459.5555555557</v>
      </c>
    </row>
    <row r="29" spans="1:9">
      <c r="A29" s="2" t="s">
        <v>47</v>
      </c>
      <c r="B29">
        <f t="shared" si="4"/>
        <v>1362889.0740740744</v>
      </c>
      <c r="F29" s="9">
        <f t="shared" si="5"/>
        <v>1362889.0740740744</v>
      </c>
    </row>
    <row r="30" spans="1:9">
      <c r="A30" s="2" t="s">
        <v>48</v>
      </c>
      <c r="B30">
        <f t="shared" si="4"/>
        <v>1356665.0987654321</v>
      </c>
      <c r="F30" s="9">
        <f t="shared" si="5"/>
        <v>1356665.0987654321</v>
      </c>
    </row>
    <row r="31" spans="1:9">
      <c r="A31" s="2" t="s">
        <v>49</v>
      </c>
      <c r="B31">
        <f t="shared" si="4"/>
        <v>1361671.2427983542</v>
      </c>
      <c r="F31" s="9">
        <f t="shared" si="5"/>
        <v>1361671.2427983542</v>
      </c>
    </row>
    <row r="32" spans="1:9">
      <c r="A32" s="2" t="s">
        <v>50</v>
      </c>
      <c r="B32">
        <f t="shared" si="4"/>
        <v>1360408.4718792869</v>
      </c>
      <c r="F32" s="9">
        <f t="shared" si="5"/>
        <v>1360408.4718792869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F4352-2DE6-4A4C-BF38-62630F9E7DF7}">
  <dimension ref="A1:K30"/>
  <sheetViews>
    <sheetView workbookViewId="0">
      <selection activeCell="G4" sqref="G4"/>
    </sheetView>
  </sheetViews>
  <sheetFormatPr defaultRowHeight="15"/>
  <cols>
    <col min="1" max="1" width="36.5703125" bestFit="1" customWidth="1"/>
    <col min="2" max="2" width="10.140625" bestFit="1" customWidth="1"/>
    <col min="4" max="4" width="26.7109375" bestFit="1" customWidth="1"/>
    <col min="7" max="7" width="24.5703125" bestFit="1" customWidth="1"/>
    <col min="10" max="10" width="19.7109375" bestFit="1" customWidth="1"/>
  </cols>
  <sheetData>
    <row r="1" spans="1:11" ht="91.5" customHeight="1">
      <c r="A1" s="16" t="s">
        <v>51</v>
      </c>
      <c r="B1" s="16"/>
      <c r="C1" s="16"/>
      <c r="D1" s="16"/>
    </row>
    <row r="2" spans="1:11" ht="59.25" customHeight="1">
      <c r="A2" s="17" t="s">
        <v>52</v>
      </c>
      <c r="B2" s="18"/>
      <c r="C2" s="18"/>
      <c r="D2" s="18"/>
      <c r="E2" s="18"/>
      <c r="F2" s="18"/>
    </row>
    <row r="3" spans="1:11" ht="21">
      <c r="A3" s="19" t="s">
        <v>53</v>
      </c>
      <c r="B3" s="20"/>
      <c r="C3" s="21"/>
      <c r="D3" s="22" t="s">
        <v>54</v>
      </c>
      <c r="E3" s="20"/>
      <c r="F3" s="21"/>
      <c r="G3" s="22" t="s">
        <v>55</v>
      </c>
      <c r="H3" s="20"/>
      <c r="I3" s="21"/>
      <c r="J3" s="23" t="s">
        <v>56</v>
      </c>
      <c r="K3" s="24"/>
    </row>
    <row r="4" spans="1:11" ht="26.25">
      <c r="A4" s="11">
        <f>SUM('monthly summary'!B2:B24)</f>
        <v>29531724</v>
      </c>
      <c r="B4" s="11"/>
      <c r="C4" s="11"/>
      <c r="D4" s="11">
        <f>AVERAGE('monthly summary'!B2:B24)</f>
        <v>1283988</v>
      </c>
      <c r="E4" s="11"/>
      <c r="F4" s="11"/>
      <c r="G4" s="12" t="str">
        <f>INDEX('monthly summary'!A2:A26, MATCH(MAX('monthly summary'!B2:B26), 'monthly summary'!B2:B26, 0))</f>
        <v>2025-04</v>
      </c>
      <c r="H4" s="11"/>
      <c r="I4" s="11"/>
      <c r="J4" s="11">
        <f>'monthly summary'!F27</f>
        <v>1201899.8500000001</v>
      </c>
    </row>
    <row r="22" spans="1:4" ht="20.25">
      <c r="A22" s="10"/>
    </row>
    <row r="30" spans="1:4" ht="229.5" customHeight="1">
      <c r="A30" s="13" t="s">
        <v>57</v>
      </c>
      <c r="B30" s="14"/>
      <c r="C30" s="14"/>
      <c r="D30" s="15"/>
    </row>
  </sheetData>
  <mergeCells count="7">
    <mergeCell ref="G3:I3"/>
    <mergeCell ref="J3:K3"/>
    <mergeCell ref="A30:D30"/>
    <mergeCell ref="A1:D1"/>
    <mergeCell ref="A2:F2"/>
    <mergeCell ref="A3:C3"/>
    <mergeCell ref="D3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2026-03-01T04:29:16Z</dcterms:created>
  <dcterms:modified xsi:type="dcterms:W3CDTF">2026-05-22T05:29:08Z</dcterms:modified>
  <cp:category/>
  <cp:contentStatus/>
</cp:coreProperties>
</file>